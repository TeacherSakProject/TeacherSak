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<sst xmlns="http://schemas.openxmlformats.org/spreadsheetml/2006/main" count="23" uniqueCount="23">
  <si>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Student ID</t>
  </si>
  <si>
    <t xml:space="preserve">Name</t>
  </si>
  <si>
    <t xml:space="preserve">English</t>
  </si>
  <si>
    <t xml:space="preserve">Math</t>
  </si>
  <si>
    <t xml:space="preserve">Physics</t>
  </si>
  <si>
    <t xml:space="preserve">History</t>
  </si>
  <si>
    <t xml:space="preserve">Art</t>
  </si>
  <si>
    <t xml:space="preserve">Highest</t>
  </si>
  <si>
    <t xml:space="preserve">Lowest</t>
  </si>
  <si>
    <t xml:space="preserve">Total</t>
  </si>
  <si>
    <t xml:space="preserve">Average</t>
  </si>
  <si>
    <t xml:space="preserve">Grades</t>
  </si>
  <si>
    <t xml:space="preserve">Rank</t>
  </si>
  <si>
    <t xml:space="preserve">Irene</t>
  </si>
  <si>
    <t xml:space="preserve">Joseph</t>
  </si>
  <si>
    <t xml:space="preserve">Katrina</t>
  </si>
  <si>
    <t xml:space="preserve">Joey</t>
  </si>
  <si>
    <t xml:space="preserve">Lucy</t>
  </si>
  <si>
    <t xml:space="preserve">Lucas</t>
  </si>
  <si>
    <t xml:space="preserve">Mike</t>
  </si>
  <si>
    <t xml:space="preserve">Jamie </t>
  </si>
  <si>
    <t xml:space="preserve">Gilbert</t>
  </si>
  <si>
    <t xml:space="preserve">Tori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</si>
</sst>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8" activeCellId="0" sqref="I8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22001</v>
      </c>
      <c r="B2" s="2" t="s">
        <v>13</v>
      </c>
      <c r="C2" s="2" t="n">
        <v>61</v>
      </c>
      <c r="D2" s="2" t="n">
        <v>80</v>
      </c>
      <c r="E2" s="2" t="n">
        <v>64</v>
      </c>
      <c r="F2" s="2" t="n">
        <v>90</v>
      </c>
      <c r="G2" s="2" t="n">
        <v>68</v>
      </c>
      <c r="H2" s="2" t="n">
        <f aca="false">MAX(C2:G2)</f>
        <v>90</v>
      </c>
      <c r="I2" s="2" t="n">
        <f aca="false">MIN(C2:G2)</f>
        <v>61</v>
      </c>
      <c r="J2" s="2" t="n">
        <f aca="false">SUM(C2:G2)</f>
        <v>363</v>
      </c>
      <c r="K2" s="2" t="n">
        <f aca="false">ROUND(AVERAGE(C2:G2),0)</f>
        <v>73</v>
      </c>
      <c r="L2" s="2" t="str">
        <f aca="false">IF(I2&lt;60,"F",IF(K2&gt;=90,"A",IF(K2&gt;=80,"B",IF(K2&gt;=70,"C",IF(K2&gt;=60,"D","F")))))</f>
        <v>C</v>
      </c>
      <c r="M2" s="2" t="n">
        <f aca="false">_xlfn.RANK.EQ(J2,$J$2:$J$11,0)</f>
        <v>8</v>
      </c>
    </row>
    <row r="3" customFormat="false" ht="15" hidden="false" customHeight="false" outlineLevel="0" collapsed="false">
      <c r="A3" s="2" t="n">
        <v>22002</v>
      </c>
      <c r="B3" s="2" t="s">
        <v>14</v>
      </c>
      <c r="C3" s="2" t="n">
        <v>65</v>
      </c>
      <c r="D3" s="2" t="n">
        <v>60</v>
      </c>
      <c r="E3" s="2" t="n">
        <v>55</v>
      </c>
      <c r="F3" s="2" t="n">
        <v>40</v>
      </c>
      <c r="G3" s="2" t="n">
        <v>56</v>
      </c>
      <c r="H3" s="2" t="n">
        <f aca="false">MAX(C3:G3)</f>
        <v>65</v>
      </c>
      <c r="I3" s="2" t="n">
        <f aca="false">MIN(C3:G3)</f>
        <v>40</v>
      </c>
      <c r="J3" s="2" t="n">
        <f aca="false">SUM(C3:G3)</f>
        <v>276</v>
      </c>
      <c r="K3" s="2" t="n">
        <f aca="false">ROUND(AVERAGE(C3:G3),0)</f>
        <v>55</v>
      </c>
      <c r="L3" s="2" t="str">
        <f aca="false">IF(I3&lt;60,"F",IF(K3&gt;=90,"A",IF(K3&gt;=80,"B",IF(K3&gt;=70,"C",IF(K3&gt;=60,"D","F")))))</f>
        <v>F</v>
      </c>
      <c r="M3" s="2" t="n">
        <f aca="false">_xlfn.RANK.EQ(J3,$J$2:$J$11,0)</f>
        <v>10</v>
      </c>
    </row>
    <row r="4" customFormat="false" ht="15" hidden="false" customHeight="false" outlineLevel="0" collapsed="false">
      <c r="A4" s="2" t="n">
        <v>22003</v>
      </c>
      <c r="B4" s="2" t="s">
        <v>15</v>
      </c>
      <c r="C4" s="2" t="n">
        <v>74</v>
      </c>
      <c r="D4" s="2" t="n">
        <v>70</v>
      </c>
      <c r="E4" s="2" t="n">
        <v>50</v>
      </c>
      <c r="F4" s="2" t="n">
        <v>76</v>
      </c>
      <c r="G4" s="2" t="n">
        <v>50</v>
      </c>
      <c r="H4" s="2" t="n">
        <f aca="false">MAX(C4:G4)</f>
        <v>76</v>
      </c>
      <c r="I4" s="2" t="n">
        <f aca="false">MIN(C4:G4)</f>
        <v>50</v>
      </c>
      <c r="J4" s="2" t="n">
        <f aca="false">SUM(C4:G4)</f>
        <v>320</v>
      </c>
      <c r="K4" s="2" t="n">
        <f aca="false">ROUND(AVERAGE(C4:G4),0)</f>
        <v>64</v>
      </c>
      <c r="L4" s="2" t="str">
        <f aca="false">IF(I4&lt;60,"F",IF(K4&gt;=90,"A",IF(K4&gt;=80,"B",IF(K4&gt;=70,"C",IF(K4&gt;=60,"D","F")))))</f>
        <v>F</v>
      </c>
      <c r="M4" s="2" t="n">
        <f aca="false">_xlfn.RANK.EQ(J4,$J$2:$J$11,0)</f>
        <v>9</v>
      </c>
    </row>
    <row r="5" customFormat="false" ht="15" hidden="false" customHeight="false" outlineLevel="0" collapsed="false">
      <c r="A5" s="2" t="n">
        <v>22004</v>
      </c>
      <c r="B5" s="2" t="s">
        <v>16</v>
      </c>
      <c r="C5" s="2" t="n">
        <v>78</v>
      </c>
      <c r="D5" s="2" t="n">
        <v>68</v>
      </c>
      <c r="E5" s="2" t="n">
        <v>80</v>
      </c>
      <c r="F5" s="2" t="n">
        <v>90</v>
      </c>
      <c r="G5" s="2" t="n">
        <v>88</v>
      </c>
      <c r="H5" s="2" t="n">
        <f aca="false">MAX(C5:G5)</f>
        <v>90</v>
      </c>
      <c r="I5" s="2" t="n">
        <f aca="false">MIN(C5:G5)</f>
        <v>68</v>
      </c>
      <c r="J5" s="2" t="n">
        <f aca="false">SUM(C5:G5)</f>
        <v>404</v>
      </c>
      <c r="K5" s="2" t="n">
        <f aca="false">ROUND(AVERAGE(C5:G5),0)</f>
        <v>81</v>
      </c>
      <c r="L5" s="2" t="str">
        <f aca="false">IF(I5&lt;60,"F",IF(K5&gt;=90,"A",IF(K5&gt;=80,"B",IF(K5&gt;=70,"C",IF(K5&gt;=60,"D","F")))))</f>
        <v>B</v>
      </c>
      <c r="M5" s="2" t="n">
        <f aca="false">_xlfn.RANK.EQ(J5,$J$2:$J$11,0)</f>
        <v>4</v>
      </c>
    </row>
    <row r="6" customFormat="false" ht="15" hidden="false" customHeight="false" outlineLevel="0" collapsed="false">
      <c r="A6" s="2" t="n">
        <v>22005</v>
      </c>
      <c r="B6" s="2" t="s">
        <v>17</v>
      </c>
      <c r="C6" s="2" t="n">
        <v>80</v>
      </c>
      <c r="D6" s="2" t="n">
        <v>70</v>
      </c>
      <c r="E6" s="2" t="n">
        <v>100</v>
      </c>
      <c r="F6" s="2" t="n">
        <v>86</v>
      </c>
      <c r="G6" s="2" t="n">
        <v>90</v>
      </c>
      <c r="H6" s="2" t="n">
        <f aca="false">MAX(C6:G6)</f>
        <v>100</v>
      </c>
      <c r="I6" s="2" t="n">
        <f aca="false">MIN(C6:G6)</f>
        <v>70</v>
      </c>
      <c r="J6" s="2" t="n">
        <f aca="false">SUM(C6:G6)</f>
        <v>426</v>
      </c>
      <c r="K6" s="2" t="n">
        <f aca="false">ROUND(AVERAGE(C6:G6),0)</f>
        <v>85</v>
      </c>
      <c r="L6" s="2" t="str">
        <f aca="false">IF(I6&lt;60,"F",IF(K6&gt;=90,"A",IF(K6&gt;=80,"B",IF(K6&gt;=70,"C",IF(K6&gt;=60,"D","F")))))</f>
        <v>B</v>
      </c>
      <c r="M6" s="2" t="n">
        <f aca="false">_xlfn.RANK.EQ(J6,$J$2:$J$11,0)</f>
        <v>2</v>
      </c>
    </row>
    <row r="7" customFormat="false" ht="15" hidden="false" customHeight="false" outlineLevel="0" collapsed="false">
      <c r="A7" s="2" t="n">
        <v>22006</v>
      </c>
      <c r="B7" s="3" t="s">
        <v>18</v>
      </c>
      <c r="C7" s="2" t="n">
        <v>76</v>
      </c>
      <c r="D7" s="2" t="n">
        <v>69</v>
      </c>
      <c r="E7" s="2" t="n">
        <v>66</v>
      </c>
      <c r="F7" s="2" t="n">
        <v>74</v>
      </c>
      <c r="G7" s="2" t="n">
        <v>97</v>
      </c>
      <c r="H7" s="2" t="n">
        <f aca="false">MAX(C7:G7)</f>
        <v>97</v>
      </c>
      <c r="I7" s="2" t="n">
        <f aca="false">MIN(C7:G7)</f>
        <v>66</v>
      </c>
      <c r="J7" s="2" t="n">
        <f aca="false">SUM(C7:G7)</f>
        <v>382</v>
      </c>
      <c r="K7" s="2" t="n">
        <f aca="false">ROUND(AVERAGE(C7:G7),0)</f>
        <v>76</v>
      </c>
      <c r="L7" s="2" t="str">
        <f aca="false">IF(I7&lt;60,"F",IF(K7&gt;=90,"A",IF(K7&gt;=80,"B",IF(K7&gt;=70,"C",IF(K7&gt;=60,"D","F")))))</f>
        <v>C</v>
      </c>
      <c r="M7" s="2" t="n">
        <f aca="false">_xlfn.RANK.EQ(J7,$J$2:$J$11,0)</f>
        <v>6</v>
      </c>
    </row>
    <row r="8" customFormat="false" ht="15" hidden="false" customHeight="false" outlineLevel="0" collapsed="false">
      <c r="A8" s="2" t="n">
        <v>22007</v>
      </c>
      <c r="B8" s="2" t="s">
        <v>19</v>
      </c>
      <c r="C8" s="2" t="n">
        <v>100</v>
      </c>
      <c r="D8" s="2" t="n">
        <v>85</v>
      </c>
      <c r="E8" s="2" t="n">
        <v>63</v>
      </c>
      <c r="F8" s="2" t="n">
        <v>99</v>
      </c>
      <c r="G8" s="2" t="n">
        <v>75</v>
      </c>
      <c r="H8" s="2" t="n">
        <f aca="false">MAX(C8:G8)</f>
        <v>100</v>
      </c>
      <c r="I8" s="2" t="n">
        <f aca="false">MIN(C8:G8)</f>
        <v>63</v>
      </c>
      <c r="J8" s="2" t="n">
        <f aca="false">SUM(C8:G8)</f>
        <v>422</v>
      </c>
      <c r="K8" s="2" t="n">
        <f aca="false">ROUND(AVERAGE(C8:G8),0)</f>
        <v>84</v>
      </c>
      <c r="L8" s="2" t="str">
        <f aca="false">IF(I8&lt;60,"F",IF(K8&gt;=90,"A",IF(K8&gt;=80,"B",IF(K8&gt;=70,"C",IF(K8&gt;=60,"D","F")))))</f>
        <v>B</v>
      </c>
      <c r="M8" s="2" t="n">
        <f aca="false">_xlfn.RANK.EQ(J8,$J$2:$J$11,0)</f>
        <v>3</v>
      </c>
    </row>
    <row r="9" customFormat="false" ht="15" hidden="false" customHeight="false" outlineLevel="0" collapsed="false">
      <c r="A9" s="2" t="n">
        <v>22008</v>
      </c>
      <c r="B9" s="2" t="s">
        <v>20</v>
      </c>
      <c r="C9" s="2" t="n">
        <v>84</v>
      </c>
      <c r="D9" s="2" t="n">
        <v>75</v>
      </c>
      <c r="E9" s="2" t="n">
        <v>61</v>
      </c>
      <c r="F9" s="2" t="n">
        <v>84</v>
      </c>
      <c r="G9" s="2" t="n">
        <v>75</v>
      </c>
      <c r="H9" s="2" t="n">
        <f aca="false">MAX(C9:G9)</f>
        <v>84</v>
      </c>
      <c r="I9" s="2" t="n">
        <f aca="false">MIN(C9:G9)</f>
        <v>61</v>
      </c>
      <c r="J9" s="2" t="n">
        <f aca="false">SUM(C9:G9)</f>
        <v>379</v>
      </c>
      <c r="K9" s="2" t="n">
        <f aca="false">ROUND(AVERAGE(C9:G9),0)</f>
        <v>76</v>
      </c>
      <c r="L9" s="2" t="str">
        <f aca="false">IF(I9&lt;60,"F",IF(K9&gt;=90,"A",IF(K9&gt;=80,"B",IF(K9&gt;=70,"C",IF(K9&gt;=60,"D","F")))))</f>
        <v>C</v>
      </c>
      <c r="M9" s="2" t="n">
        <f aca="false">_xlfn.RANK.EQ(J9,$J$2:$J$11,0)</f>
        <v>7</v>
      </c>
    </row>
    <row r="10" customFormat="false" ht="15" hidden="false" customHeight="false" outlineLevel="0" collapsed="false">
      <c r="A10" s="2" t="n">
        <v>22009</v>
      </c>
      <c r="B10" s="3" t="s">
        <v>21</v>
      </c>
      <c r="C10" s="2" t="n">
        <v>75</v>
      </c>
      <c r="D10" s="2" t="n">
        <v>70</v>
      </c>
      <c r="E10" s="2" t="n">
        <v>68</v>
      </c>
      <c r="F10" s="2" t="n">
        <v>99</v>
      </c>
      <c r="G10" s="2" t="n">
        <v>90</v>
      </c>
      <c r="H10" s="2" t="n">
        <f aca="false">MAX(C10:G10)</f>
        <v>99</v>
      </c>
      <c r="I10" s="2" t="n">
        <f aca="false">MIN(C10:G10)</f>
        <v>68</v>
      </c>
      <c r="J10" s="2" t="n">
        <f aca="false">SUM(C10:G10)</f>
        <v>402</v>
      </c>
      <c r="K10" s="2" t="n">
        <f aca="false">ROUND(AVERAGE(C10:G10),0)</f>
        <v>80</v>
      </c>
      <c r="L10" s="2" t="str">
        <f aca="false">IF(I10&lt;60,"F",IF(K10&gt;=90,"A",IF(K10&gt;=80,"B",IF(K10&gt;=70,"C",IF(K10&gt;=60,"D","F")))))</f>
        <v>B</v>
      </c>
      <c r="M10" s="2" t="n">
        <f aca="false">_xlfn.RANK.EQ(J10,$J$2:$J$11,0)</f>
        <v>5</v>
      </c>
    </row>
    <row r="11" customFormat="false" ht="15" hidden="false" customHeight="false" outlineLevel="0" collapsed="false">
      <c r="A11" s="2" t="n">
        <v>22010</v>
      </c>
      <c r="B11" s="3" t="s">
        <v>22</v>
      </c>
      <c r="C11" s="2" t="n">
        <v>99</v>
      </c>
      <c r="D11" s="2" t="n">
        <v>87</v>
      </c>
      <c r="E11" s="2" t="n">
        <v>85</v>
      </c>
      <c r="F11" s="2" t="n">
        <v>91</v>
      </c>
      <c r="G11" s="2" t="n">
        <v>86</v>
      </c>
      <c r="H11" s="2" t="n">
        <f aca="false">MAX(C11:G11)</f>
        <v>99</v>
      </c>
      <c r="I11" s="2" t="n">
        <f aca="false">MIN(C11:G11)</f>
        <v>85</v>
      </c>
      <c r="J11" s="2" t="n">
        <f aca="false">SUM(C11:G11)</f>
        <v>448</v>
      </c>
      <c r="K11" s="2" t="n">
        <f aca="false">ROUND(AVERAGE(C11:G11),0)</f>
        <v>90</v>
      </c>
      <c r="L11" s="2" t="str">
        <f aca="false">IF(I11&lt;60,"F",IF(K11&gt;=90,"A",IF(K11&gt;=80,"B",IF(K11&gt;=70,"C",IF(K11&gt;=60,"D","F")))))</f>
        <v>A</v>
      </c>
      <c r="M11" s="2" t="n">
        <f aca="false">_xlfn.RANK.EQ(J11,$J$2:$J$11,0)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2026-04-22T12:35:16Z</dcterms:created>
  <dc:creator/>
  <dc:description/>
  <dc:language>en-US</dc:language>
  <cp:lastModifiedBy/>
  <dcterms:modified xsi:type="dcterms:W3CDTF">2026-04-22T12:35:37Z</dcterms:modified>
  <cp:revision>1</cp:revision>
  <dc:subject/>
  <dc:title/>
</cp:coreProperties>
</file>